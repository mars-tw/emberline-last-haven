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2d81c1de3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兩箱比較" sheetId="1" r:id="R2678a3bf612f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4">
    <x:font>
      <x:sz val="11"/>
      <x:name val="Carlito"/>
    </x:font>
    <x:font>
      <x:sz val="11"/>
      <x:color rgb="FF2B2620"/>
      <x:name val="Microsoft JhengHei"/>
    </x:font>
    <x:font>
      <x:b/>
      <x:sz val="16"/>
      <x:color rgb="FF2B2620"/>
      <x:name val="Microsoft JhengHei"/>
    </x:font>
    <x:font>
      <x:b/>
      <x:sz val="11"/>
      <x:color rgb="FFFFFFF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394A52"/>
      </x:patternFill>
    </x:fill>
    <x:fill>
      <x:patternFill patternType="solid">
        <x:fgColor rgb="FFFFF0D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657C8A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bcf95249f486b" /><Relationship Type="http://schemas.openxmlformats.org/officeDocument/2006/relationships/theme" Target="/xl/theme/theme1.xml" Id="R1b3b1d78e48e4aaa" /><Relationship Type="http://schemas.openxmlformats.org/officeDocument/2006/relationships/sharedStrings" Target="/xl/sharedStrings.xml" Id="R9cb62a4455f04cd1" /><Relationship Type="http://schemas.openxmlformats.org/officeDocument/2006/relationships/worksheet" Target="/xl/worksheets/sheet1.xml" Id="R2678a3bf612f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3" t="str">
        <x:v>中繼站兩箱平衡試算</x:v>
      </x:c>
      <x:c r="B2" s="4"/>
      <x:c r="C2" s="4"/>
      <x:c r="D2" s="4"/>
      <x:c r="E2" s="4"/>
      <x:c r="F2" s="4"/>
      <x:c r="G2" s="4"/>
      <x:c r="H2" s="4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 t="str">
        <x:v>情境：21人、護具未滿級、未受額外撞擊，工具箱的溢出修復全數保留。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8" customHeight="1">
      <x:c r="A6" s="9" t="str">
        <x:v>起始車體％</x:v>
      </x:c>
      <x:c r="B6" s="9" t="str">
        <x:v>救援補給</x:v>
      </x:c>
      <x:c r="C6" s="9" t="str">
        <x:v>補給折算車體％</x:v>
      </x:c>
      <x:c r="D6" s="9" t="str">
        <x:v>額外搶修％</x:v>
      </x:c>
      <x:c r="E6" s="9" t="str">
        <x:v>救援折算價值</x:v>
      </x:c>
      <x:c r="F6" s="9" t="str">
        <x:v>工具即修％</x:v>
      </x:c>
      <x:c r="G6" s="9" t="str">
        <x:v>工具備修％</x:v>
      </x:c>
      <x:c r="H6" s="9" t="str">
        <x:v>價值差距</x:v>
      </x:c>
    </x:row>
    <x:row r="7" ht="27" customHeight="1">
      <x:c r="A7" s="11" t="n">
        <x:v>69</x:v>
      </x:c>
      <x:c r="B7" s="11" t="n">
        <x:v>4</x:v>
      </x:c>
      <x:c r="C7" s="10" t="n">
        <x:f>B7*$B$14</x:f>
        <x:v>15</x:v>
      </x:c>
      <x:c r="D7" s="10" t="n">
        <x:f>MIN(2,MAX(0,100-MIN(100,A7+5+$B$15)))</x:f>
        <x:v>2</x:v>
      </x:c>
      <x:c r="E7" s="10" t="n">
        <x:f>SUM(C7:D7)</x:f>
        <x:v>17</x:v>
      </x:c>
      <x:c r="F7" s="11" t="n">
        <x:f>MIN(18,100-A7)</x:f>
        <x:v>18</x:v>
      </x:c>
      <x:c r="G7" s="11" t="n">
        <x:f>18-F7</x:f>
        <x:v>0</x:v>
      </x:c>
      <x:c r="H7" s="12" t="n">
        <x:f>ABS(E7-SUM(F7:G7))/MAX(E7,SUM(F7:G7))</x:f>
        <x:v>0.05555555555555555</x:v>
      </x:c>
    </x:row>
    <x:row r="8" ht="27" customHeight="1">
      <x:c r="A8" s="11" t="n">
        <x:v>95</x:v>
      </x:c>
      <x:c r="B8" s="11" t="n">
        <x:v>4</x:v>
      </x:c>
      <x:c r="C8" s="10" t="n">
        <x:f>B8*$B$14</x:f>
        <x:v>15</x:v>
      </x:c>
      <x:c r="D8" s="10" t="n">
        <x:f>MIN(2,MAX(0,100-MIN(100,A8+5+$B$15)))</x:f>
        <x:v>0</x:v>
      </x:c>
      <x:c r="E8" s="10" t="n">
        <x:f>SUM(C8:D8)</x:f>
        <x:v>15</x:v>
      </x:c>
      <x:c r="F8" s="11" t="n">
        <x:f>MIN(18,100-A8)</x:f>
        <x:v>5</x:v>
      </x:c>
      <x:c r="G8" s="11" t="n">
        <x:f>18-F8</x:f>
        <x:v>13</x:v>
      </x:c>
      <x:c r="H8" s="12" t="n">
        <x:f>ABS(E8-SUM(F8:G8))/MAX(E8,SUM(F8:G8))</x:f>
        <x:v>0.16666666666666666</x:v>
      </x:c>
    </x:row>
    <x:row r="9" ht="27" customHeight="1">
      <x:c r="A9" s="11" t="n">
        <x:v>100</x:v>
      </x:c>
      <x:c r="B9" s="11" t="n">
        <x:v>4</x:v>
      </x:c>
      <x:c r="C9" s="10" t="n">
        <x:f>B9*$B$14</x:f>
        <x:v>15</x:v>
      </x:c>
      <x:c r="D9" s="10" t="n">
        <x:f>MIN(2,MAX(0,100-MIN(100,A9+5+$B$15)))</x:f>
        <x:v>0</x:v>
      </x:c>
      <x:c r="E9" s="10" t="n">
        <x:f>SUM(C9:D9)</x:f>
        <x:v>15</x:v>
      </x:c>
      <x:c r="F9" s="11" t="n">
        <x:f>MIN(18,100-A9)</x:f>
        <x:v>0</x:v>
      </x:c>
      <x:c r="G9" s="11" t="n">
        <x:f>18-F9</x:f>
        <x:v>18</x:v>
      </x:c>
      <x:c r="H9" s="12" t="n">
        <x:f>ABS(E9-SUM(F9:G9))/MAX(E9,SUM(F9:G9))</x:f>
        <x:v>0.16666666666666666</x:v>
      </x:c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 ht="25" customHeight="1">
      <x:c r="A12" s="1" t="str">
        <x:v>升級補給成本</x:v>
      </x:c>
      <x:c r="B12" s="13" t="n">
        <x:v>4</x:v>
      </x:c>
      <x:c r="C12" s="1"/>
      <x:c r="D12" s="1"/>
      <x:c r="E12" s="1"/>
      <x:c r="F12" s="1"/>
      <x:c r="G12" s="1"/>
      <x:c r="H12" s="1"/>
    </x:row>
    <x:row r="13" ht="25" customHeight="1">
      <x:c r="A13" s="1" t="str">
        <x:v>升級修復上限％</x:v>
      </x:c>
      <x:c r="B13" s="13" t="n">
        <x:v>15</x:v>
      </x:c>
      <x:c r="C13" s="1"/>
      <x:c r="D13" s="1"/>
      <x:c r="E13" s="1"/>
      <x:c r="F13" s="1"/>
      <x:c r="G13" s="1"/>
      <x:c r="H13" s="1"/>
    </x:row>
    <x:row r="14" ht="25" customHeight="1">
      <x:c r="A14" s="1" t="str">
        <x:v>每補給折算車體％</x:v>
      </x:c>
      <x:c r="B14" s="1" t="n">
        <x:f>B13/B12</x:f>
        <x:v>3.75</x:v>
      </x:c>
      <x:c r="C14" s="1"/>
      <x:c r="D14" s="1"/>
      <x:c r="E14" s="1"/>
      <x:c r="F14" s="1"/>
      <x:c r="G14" s="1"/>
      <x:c r="H14" s="1"/>
    </x:row>
    <x:row r="15" ht="25" customHeight="1">
      <x:c r="A15" s="1" t="str">
        <x:v>救援前同行人數</x:v>
      </x:c>
      <x:c r="B15" s="13" t="n">
        <x:v>21</x:v>
      </x:c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6" customHeight="1">
      <x:c r="A17" s="1" t="str">
        <x:v>換算條件：將4補給視為一次15％搶修；需護具未滿、車體有足夠缺口，且願意升級。</x:v>
      </x:c>
      <x:c r="B17" s="1"/>
      <x:c r="C17" s="1"/>
      <x:c r="D17" s="1"/>
      <x:c r="E17" s="1"/>
      <x:c r="F17" s="1"/>
      <x:c r="G17" s="1"/>
      <x:c r="H17" s="1"/>
    </x:row>
    <x:row r="18" ht="26" customHeight="1">
      <x:c r="A18" s="1" t="str">
        <x:v>警戒協作＋1與人數另有價值，本表未計價。數值是條件換算，未聲稱勝率或所有局面等價。</x:v>
      </x:c>
      <x:c r="B18" s="1"/>
      <x:c r="C18" s="1"/>
      <x:c r="D18" s="1"/>
      <x:c r="E18" s="1"/>
      <x:c r="F18" s="1"/>
      <x:c r="G18" s="1"/>
      <x:c r="H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</x:row>
    <x:row r="20" ht="26" customHeight="1">
      <x:c r="A20" s="1" t="str">
        <x:v>來源：src/campaign.ts 的 chooseRelay、upgrade、finish；nightRepair 的 +2％與上限另有原尺寸截圖。</x:v>
      </x:c>
      <x:c r="B20" s="1"/>
      <x:c r="C20" s="1"/>
      <x:c r="D20" s="1"/>
      <x:c r="E20" s="1"/>
      <x:c r="F20" s="1"/>
      <x:c r="G20" s="1"/>
      <x:c r="H20" s="1"/>
    </x:row>
    <x:row r="21" ht="26" customHeight="1">
      <x:c r="A21" s="1" t="str">
        <x:v>原圖：phone-relay-night-repair-69.png、phone-relay-night-repair-100.png。</x:v>
      </x:c>
      <x:c r="B21" s="1"/>
      <x:c r="C21" s="1"/>
      <x:c r="D21" s="1"/>
      <x:c r="E21" s="1"/>
      <x:c r="F21" s="1"/>
      <x:c r="G21" s="1"/>
      <x:c r="H21" s="1"/>
    </x:row>
  </x:sheetData>
  <x:pageMargins left="0.7" right="0.7" top="0.75" bottom="0.75" header="0.3" footer="0.3"/>
</x:worksheet>
</file>